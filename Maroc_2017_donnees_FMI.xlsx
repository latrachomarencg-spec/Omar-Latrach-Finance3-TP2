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B033574-4071-4ED3-A194-40C644131239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Indicateurs macro 2013-2018" sheetId="1" r:id="rId1"/>
    <sheet name="Finances publiques 2017" sheetId="2" r:id="rId2"/>
    <sheet name="Balance des paiements 2017" sheetId="3" r:id="rId3"/>
    <sheet name="Monétaire et bancaire 2017" sheetId="4" r:id="rId4"/>
    <sheet name="Sources et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I41" i="1"/>
  <c r="I40" i="1"/>
  <c r="I39" i="1"/>
  <c r="I38" i="1"/>
  <c r="I37" i="1"/>
  <c r="I35" i="1"/>
  <c r="I34" i="1"/>
  <c r="I33" i="1"/>
  <c r="I32" i="1"/>
  <c r="I31" i="1"/>
  <c r="I30" i="1"/>
  <c r="I29" i="1"/>
  <c r="I28" i="1"/>
  <c r="I27" i="1"/>
  <c r="I26" i="1"/>
  <c r="I24" i="1"/>
  <c r="I23" i="1"/>
  <c r="I21" i="1"/>
  <c r="I20" i="1"/>
  <c r="I19" i="1"/>
  <c r="I18" i="1"/>
  <c r="I17" i="1"/>
  <c r="I15" i="1"/>
  <c r="I14" i="1"/>
  <c r="I13" i="1"/>
  <c r="I12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<sst xmlns="http://schemas.openxmlformats.org/spreadsheetml/2006/main" count="192" uniqueCount="135">
  <si>
    <t>Maroc – Indicateurs macroéconomiques, 2013-2018 (2017 en surbrillance)</t>
  </si>
  <si>
    <t>Source : FMI, Country Report No. 18/75 (Article IV 2017), Selected Economic Indicators. 2017 = estimation des services du FMI (nov. 2017) ; 2018 = projection.</t>
  </si>
  <si>
    <t>Indicateur</t>
  </si>
  <si>
    <t>Unité</t>
  </si>
  <si>
    <t>2013</t>
  </si>
  <si>
    <t>2014</t>
  </si>
  <si>
    <t>2015</t>
  </si>
  <si>
    <t>2016</t>
  </si>
  <si>
    <t>2017</t>
  </si>
  <si>
    <t>2018 (proj.)</t>
  </si>
  <si>
    <t>Variation 2017 vs 2016</t>
  </si>
  <si>
    <t>Production et prix</t>
  </si>
  <si>
    <t>PIB réel</t>
  </si>
  <si>
    <t>% var. annuelle</t>
  </si>
  <si>
    <t>PIB agricole réel</t>
  </si>
  <si>
    <t>PIB non agricole réel</t>
  </si>
  <si>
    <t>Prix à la consommation (fin de période)</t>
  </si>
  <si>
    <t>Prix à la consommation (moyenne annuelle)</t>
  </si>
  <si>
    <t>Investissement et épargne</t>
  </si>
  <si>
    <t>Formation brute de capital</t>
  </si>
  <si>
    <t>% du PIB</t>
  </si>
  <si>
    <t xml:space="preserve">  dont non-gouvernemental</t>
  </si>
  <si>
    <t>Épargne nationale brute</t>
  </si>
  <si>
    <t>Finances publiques (administration centrale)</t>
  </si>
  <si>
    <t>Recettes</t>
  </si>
  <si>
    <t>Dépenses</t>
  </si>
  <si>
    <t>Solde budgétaire global</t>
  </si>
  <si>
    <t>Solde primaire (hors dons)</t>
  </si>
  <si>
    <t>Dette publique totale</t>
  </si>
  <si>
    <t>Secteur monétaire</t>
  </si>
  <si>
    <t>Crédit à l'économie</t>
  </si>
  <si>
    <t>n.d.</t>
  </si>
  <si>
    <t>Monnaie au sens large (M3)</t>
  </si>
  <si>
    <t>Secteur extérieur</t>
  </si>
  <si>
    <t>Exportations de biens et services (en USD)</t>
  </si>
  <si>
    <t>Importations de biens et services (en USD)</t>
  </si>
  <si>
    <t>Balance commerciale (marchandises)</t>
  </si>
  <si>
    <t>Compte courant hors transferts officiels</t>
  </si>
  <si>
    <t>Compte courant y c. transferts officiels</t>
  </si>
  <si>
    <t>Investissements directs étrangers (IDE)</t>
  </si>
  <si>
    <t>Dette extérieure totale</t>
  </si>
  <si>
    <t>Réserves brutes de change</t>
  </si>
  <si>
    <t>Mds USD</t>
  </si>
  <si>
    <t>Réserves en mois d'importations (année suivante)</t>
  </si>
  <si>
    <t>mois</t>
  </si>
  <si>
    <t>Réserves en % de la métrique ARA du FMI</t>
  </si>
  <si>
    <t>%</t>
  </si>
  <si>
    <t>Postes pour mémoire</t>
  </si>
  <si>
    <t>PIB nominal</t>
  </si>
  <si>
    <t>Taux de chômage (série du tableau 2 du FMI)</t>
  </si>
  <si>
    <t>Population</t>
  </si>
  <si>
    <t>Millions</t>
  </si>
  <si>
    <t>Croissance démographique</t>
  </si>
  <si>
    <t>Importations nettes de produits énergétiques</t>
  </si>
  <si>
    <t>Maroc – Finances de l'administration centrale, 2017 (estimation FMI)</t>
  </si>
  <si>
    <t>Source : FMI, Country Report No. 18/75, tableau 3a (milliards de dirhams). La colonne % du PIB est calculée avec le PIB nominal ci-dessous.</t>
  </si>
  <si>
    <t>Poste</t>
  </si>
  <si>
    <t>Mds MAD (2017)</t>
  </si>
  <si>
    <t>% du PIB (calculé)</t>
  </si>
  <si>
    <t xml:space="preserve">  Impôts</t>
  </si>
  <si>
    <t xml:space="preserve">    Impôts sur le revenu, les bénéfices et les gains en capital</t>
  </si>
  <si>
    <t xml:space="preserve">    Impôts sur la propriété</t>
  </si>
  <si>
    <t xml:space="preserve">    Impôts sur les biens et services (TVA, etc.)</t>
  </si>
  <si>
    <t xml:space="preserve">    Impôts sur le commerce international</t>
  </si>
  <si>
    <t xml:space="preserve">    Autres impôts</t>
  </si>
  <si>
    <t xml:space="preserve">  Dons (grants)</t>
  </si>
  <si>
    <t xml:space="preserve">  Autres recettes</t>
  </si>
  <si>
    <t>Dépenses (charges)</t>
  </si>
  <si>
    <t xml:space="preserve">  Rémunération des salariés</t>
  </si>
  <si>
    <t xml:space="preserve">  Utilisation de biens et services et transferts</t>
  </si>
  <si>
    <t xml:space="preserve">    dont biens et services</t>
  </si>
  <si>
    <t xml:space="preserve">    dont transferts (grants)</t>
  </si>
  <si>
    <t xml:space="preserve">  Intérêts de la dette</t>
  </si>
  <si>
    <t xml:space="preserve">  Subventions</t>
  </si>
  <si>
    <t xml:space="preserve">  Autres charges (y c. transferts de capital aux entités publiques)</t>
  </si>
  <si>
    <t>Acquisition nette d'actifs non financiers (investissement)</t>
  </si>
  <si>
    <t>Solde global (capacité / besoin de financement)</t>
  </si>
  <si>
    <t>Solde hors dons</t>
  </si>
  <si>
    <t>PIB nominal 2017 (Mds MAD)</t>
  </si>
  <si>
    <t>Dette publique totale (% du PIB, estimation FMI)</t>
  </si>
  <si>
    <t>Maroc – Balance des paiements, 2017 (estimation FMI, milliards USD)</t>
  </si>
  <si>
    <t>Source : FMI, Country Report No. 18/75, tableau 4. Signe négatif = déficit / sortie ; pour les avoirs de réserve, positif = baisse des réserves.</t>
  </si>
  <si>
    <t>Mds USD (2017)</t>
  </si>
  <si>
    <t>Compte courant</t>
  </si>
  <si>
    <t xml:space="preserve">  Balance commerciale</t>
  </si>
  <si>
    <t xml:space="preserve">    Exportations (f.o.b.)</t>
  </si>
  <si>
    <t xml:space="preserve">      dont produits alimentaires</t>
  </si>
  <si>
    <t xml:space="preserve">      dont phosphates et dérivés</t>
  </si>
  <si>
    <t xml:space="preserve">      dont automobiles</t>
  </si>
  <si>
    <t xml:space="preserve">    Importations (f.o.b.)</t>
  </si>
  <si>
    <t xml:space="preserve">      dont énergie</t>
  </si>
  <si>
    <t xml:space="preserve">      dont biens d'équipement</t>
  </si>
  <si>
    <t xml:space="preserve">  Services</t>
  </si>
  <si>
    <t xml:space="preserve">    dont recettes touristiques</t>
  </si>
  <si>
    <t xml:space="preserve">  Revenus (income)</t>
  </si>
  <si>
    <t xml:space="preserve">  Transferts courants</t>
  </si>
  <si>
    <t xml:space="preserve">    Transferts privés nets</t>
  </si>
  <si>
    <t xml:space="preserve">      dont envois de fonds des travailleurs migrants</t>
  </si>
  <si>
    <t xml:space="preserve">    Dons officiels nets</t>
  </si>
  <si>
    <t>Compte de capital</t>
  </si>
  <si>
    <t>Compte financier</t>
  </si>
  <si>
    <t xml:space="preserve">  Investissements directs</t>
  </si>
  <si>
    <t xml:space="preserve">  Investissements de portefeuille</t>
  </si>
  <si>
    <t xml:space="preserve">  Autres investissements</t>
  </si>
  <si>
    <t xml:space="preserve">    dont privés</t>
  </si>
  <si>
    <t xml:space="preserve">    dont prêts publics à moyen et long terme (nets)</t>
  </si>
  <si>
    <t>Accumulation d'avoirs de réserve (– = hausse)</t>
  </si>
  <si>
    <t>Erreurs et omissions</t>
  </si>
  <si>
    <t>Maroc – Situation monétaire et secteur bancaire, 2017</t>
  </si>
  <si>
    <t>Source : FMI, Country Report No. 18/75, tableaux 5 et 6 et texte du rapport (Bank Al-Maghrib).</t>
  </si>
  <si>
    <t>Situation monétaire (tableau 5)</t>
  </si>
  <si>
    <t>Avoirs extérieurs nets</t>
  </si>
  <si>
    <t>Mds MAD</t>
  </si>
  <si>
    <t xml:space="preserve">  dont réserves brutes</t>
  </si>
  <si>
    <t>Avoirs intérieurs nets</t>
  </si>
  <si>
    <t xml:space="preserve">  Crédit intérieur</t>
  </si>
  <si>
    <t xml:space="preserve">  Créances nettes sur l'État</t>
  </si>
  <si>
    <t xml:space="preserve">  Crédit à l'économie</t>
  </si>
  <si>
    <t xml:space="preserve">  Monnaie (M1)</t>
  </si>
  <si>
    <t xml:space="preserve">    Monnaie fiduciaire hors banques</t>
  </si>
  <si>
    <t xml:space="preserve">    Dépôts à vue</t>
  </si>
  <si>
    <t xml:space="preserve">  Quasi-monnaie</t>
  </si>
  <si>
    <t>Dépôts en devises</t>
  </si>
  <si>
    <t>Croissance du crédit à l'économie</t>
  </si>
  <si>
    <t>Croissance de M3</t>
  </si>
  <si>
    <t>Crédit à l'économie / PIB</t>
  </si>
  <si>
    <t>Politique monétaire et secteur bancaire</t>
  </si>
  <si>
    <t>Taux directeur de Bank Al-Maghrib (inchangé depuis mars 2016)</t>
  </si>
  <si>
    <t>Croissance du crédit (août 2017, glissement annuel)</t>
  </si>
  <si>
    <t>Ratio de fonds propres de base (fin juin 2017, selon le texte)</t>
  </si>
  <si>
    <t>Prêts non performants / total des prêts (selon le texte)</t>
  </si>
  <si>
    <t>Provisions sur prêts non performants (selon le texte)</t>
  </si>
  <si>
    <t>Fonds propres / actifs (juin 2017, tableau 6)</t>
  </si>
  <si>
    <t>Actifs liquides / total des actifs (juin 2017, tableau 6)</t>
  </si>
  <si>
    <t>Dépôts / prêts (juin 2017, tableau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</si>
</sst>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\-0.0;0.0"/>
    <numFmt numFmtId="165" formatCode="#,##0.0;\-#,##0.0"/>
    <numFmt numFmtId="166" formatCode="0.0%;\-0.0%"/>
    <numFmt numFmtId="167" formatCode="#,##0.0"/>
    <numFmt numFmtId="168" formatCode="0.0%"/>
    <numFmt numFmtId="169" formatCode="0.0#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/>
    <xf numFmtId="166" fontId="5" fillId="0" borderId="1" xfId="0" applyNumberFormat="1" applyFont="1" applyBorder="1" applyAlignment="1">
      <alignment horizontal="right"/>
    </xf>
    <xf numFmtId="0" fontId="4" fillId="4" borderId="1" xfId="0" applyFont="1" applyFill="1" applyBorder="1"/>
    <xf numFmtId="167" fontId="4" fillId="4" borderId="1" xfId="0" applyNumberFormat="1" applyFont="1" applyFill="1" applyBorder="1"/>
    <xf numFmtId="0" fontId="4" fillId="4" borderId="1" xfId="0" applyFont="1" applyFill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5" fillId="0" borderId="1" xfId="0" applyNumberFormat="1" applyFont="1" applyBorder="1"/>
    <xf numFmtId="167" fontId="5" fillId="0" borderId="1" xfId="0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5" sqref="E45"/>
    </sheetView>
  </sheetViews>
  <sheetFormatPr baseColWidth="10" defaultColWidth="8.6328125" defaultRowHeight="14.5" x14ac:dyDescent="0.35"/>
  <cols>
    <col min="1" max="1" width="52" customWidth="1"/>
    <col min="2" max="2" width="17" customWidth="1"/>
    <col min="3" max="8" width="13" customWidth="1"/>
    <col min="9" max="9" width="17" customWidth="1"/>
  </cols>
  <sheetData>
    <row r="1" spans="1:9" ht="18" x14ac:dyDescent="0.4">
      <c r="A1" s="1" t="s">
        <v>0</v>
      </c>
    </row>
    <row r="2" spans="1:9" x14ac:dyDescent="0.35">
      <c r="A2" s="2" t="s">
        <v>1</v>
      </c>
    </row>
    <row r="4" spans="1:9" ht="31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">
        <v>11</v>
      </c>
      <c r="B5" s="4"/>
      <c r="C5" s="5"/>
      <c r="D5" s="5"/>
      <c r="E5" s="5"/>
      <c r="F5" s="5"/>
      <c r="G5" s="5"/>
      <c r="H5" s="5"/>
      <c r="I5" s="5"/>
    </row>
    <row r="6" spans="1:9" x14ac:dyDescent="0.35">
      <c r="A6" s="6" t="s">
        <v>12</v>
      </c>
      <c r="B6" s="6" t="s">
        <v>13</v>
      </c>
      <c r="C6" s="7">
        <v>4.5</v>
      </c>
      <c r="D6" s="7">
        <v>2.7</v>
      </c>
      <c r="E6" s="7">
        <v>4.5</v>
      </c>
      <c r="F6" s="7">
        <v>1.2</v>
      </c>
      <c r="G6" s="8">
        <v>4.4000000000000004</v>
      </c>
      <c r="H6" s="7">
        <v>3.1</v>
      </c>
      <c r="I6" s="7">
        <f>G6-F6</f>
        <v>3.2</v>
      </c>
    </row>
    <row r="7" spans="1:9" x14ac:dyDescent="0.35">
      <c r="A7" s="6" t="s">
        <v>14</v>
      </c>
      <c r="B7" s="6" t="s">
        <v>13</v>
      </c>
      <c r="C7" s="7">
        <v>17.2</v>
      </c>
      <c r="D7" s="7">
        <v>-2.2000000000000002</v>
      </c>
      <c r="E7" s="7">
        <v>11.9</v>
      </c>
      <c r="F7" s="7">
        <v>-12.8</v>
      </c>
      <c r="G7" s="8">
        <v>15.2</v>
      </c>
      <c r="H7" s="7">
        <v>-1</v>
      </c>
      <c r="I7" s="7">
        <f>G7-F7</f>
        <v>28</v>
      </c>
    </row>
    <row r="8" spans="1:9" x14ac:dyDescent="0.35">
      <c r="A8" s="6" t="s">
        <v>15</v>
      </c>
      <c r="B8" s="6" t="s">
        <v>13</v>
      </c>
      <c r="C8" s="7">
        <v>2.9</v>
      </c>
      <c r="D8" s="7">
        <v>3.4</v>
      </c>
      <c r="E8" s="7">
        <v>3.7</v>
      </c>
      <c r="F8" s="7">
        <v>3.1</v>
      </c>
      <c r="G8" s="8">
        <v>3</v>
      </c>
      <c r="H8" s="7">
        <v>3.6</v>
      </c>
      <c r="I8" s="7">
        <f>G8-F8</f>
        <v>-0.10000000000000009</v>
      </c>
    </row>
    <row r="9" spans="1:9" x14ac:dyDescent="0.35">
      <c r="A9" s="6" t="s">
        <v>16</v>
      </c>
      <c r="B9" s="6" t="s">
        <v>13</v>
      </c>
      <c r="C9" s="7">
        <v>0.4</v>
      </c>
      <c r="D9" s="7">
        <v>1.6</v>
      </c>
      <c r="E9" s="7">
        <v>0.6</v>
      </c>
      <c r="F9" s="7">
        <v>1.8</v>
      </c>
      <c r="G9" s="8">
        <v>0.9</v>
      </c>
      <c r="H9" s="7">
        <v>1.6</v>
      </c>
      <c r="I9" s="7">
        <f>G9-F9</f>
        <v>-0.9</v>
      </c>
    </row>
    <row r="10" spans="1:9" x14ac:dyDescent="0.35">
      <c r="A10" s="6" t="s">
        <v>17</v>
      </c>
      <c r="B10" s="6" t="s">
        <v>13</v>
      </c>
      <c r="C10" s="7">
        <v>1.9</v>
      </c>
      <c r="D10" s="7">
        <v>0.4</v>
      </c>
      <c r="E10" s="7">
        <v>1.5</v>
      </c>
      <c r="F10" s="7">
        <v>1.6</v>
      </c>
      <c r="G10" s="8">
        <v>0.6</v>
      </c>
      <c r="H10" s="7">
        <v>1.3</v>
      </c>
      <c r="I10" s="7">
        <f>G10-F10</f>
        <v>-1</v>
      </c>
    </row>
    <row r="11" spans="1:9" x14ac:dyDescent="0.35">
      <c r="A11" s="4" t="s">
        <v>18</v>
      </c>
      <c r="B11" s="4"/>
      <c r="C11" s="5"/>
      <c r="D11" s="5"/>
      <c r="E11" s="5"/>
      <c r="F11" s="5"/>
      <c r="G11" s="5"/>
      <c r="H11" s="5"/>
      <c r="I11" s="5"/>
    </row>
    <row r="12" spans="1:9" x14ac:dyDescent="0.35">
      <c r="A12" s="6" t="s">
        <v>19</v>
      </c>
      <c r="B12" s="6" t="s">
        <v>20</v>
      </c>
      <c r="C12" s="7">
        <v>34.700000000000003</v>
      </c>
      <c r="D12" s="7">
        <v>32.5</v>
      </c>
      <c r="E12" s="7">
        <v>30.8</v>
      </c>
      <c r="F12" s="7">
        <v>32.6</v>
      </c>
      <c r="G12" s="8">
        <v>33.4</v>
      </c>
      <c r="H12" s="7">
        <v>34.5</v>
      </c>
      <c r="I12" s="7">
        <f>G12-F12</f>
        <v>0.79999999999999716</v>
      </c>
    </row>
    <row r="13" spans="1:9" x14ac:dyDescent="0.35">
      <c r="A13" s="6" t="s">
        <v>21</v>
      </c>
      <c r="B13" s="6" t="s">
        <v>20</v>
      </c>
      <c r="C13" s="7">
        <v>29.6</v>
      </c>
      <c r="D13" s="7">
        <v>27.2</v>
      </c>
      <c r="E13" s="7">
        <v>25.3</v>
      </c>
      <c r="F13" s="7">
        <v>26.9</v>
      </c>
      <c r="G13" s="8">
        <v>28</v>
      </c>
      <c r="H13" s="7">
        <v>29</v>
      </c>
      <c r="I13" s="7">
        <f>G13-F13</f>
        <v>1.1000000000000014</v>
      </c>
    </row>
    <row r="14" spans="1:9" x14ac:dyDescent="0.35">
      <c r="A14" s="6" t="s">
        <v>22</v>
      </c>
      <c r="B14" s="6" t="s">
        <v>20</v>
      </c>
      <c r="C14" s="7">
        <v>27.1</v>
      </c>
      <c r="D14" s="7">
        <v>26.6</v>
      </c>
      <c r="E14" s="7">
        <v>28.7</v>
      </c>
      <c r="F14" s="7">
        <v>28.2</v>
      </c>
      <c r="G14" s="8">
        <v>29.5</v>
      </c>
      <c r="H14" s="7">
        <v>30.8</v>
      </c>
      <c r="I14" s="7">
        <f>G14-F14</f>
        <v>1.3000000000000007</v>
      </c>
    </row>
    <row r="15" spans="1:9" x14ac:dyDescent="0.35">
      <c r="A15" s="6" t="s">
        <v>21</v>
      </c>
      <c r="B15" s="6" t="s">
        <v>20</v>
      </c>
      <c r="C15" s="7">
        <v>25.6</v>
      </c>
      <c r="D15" s="7">
        <v>24.6</v>
      </c>
      <c r="E15" s="7">
        <v>25.6</v>
      </c>
      <c r="F15" s="7">
        <v>25</v>
      </c>
      <c r="G15" s="8">
        <v>26.3</v>
      </c>
      <c r="H15" s="7">
        <v>27</v>
      </c>
      <c r="I15" s="7">
        <f>G15-F15</f>
        <v>1.3000000000000007</v>
      </c>
    </row>
    <row r="16" spans="1:9" x14ac:dyDescent="0.35">
      <c r="A16" s="4" t="s">
        <v>23</v>
      </c>
      <c r="B16" s="4"/>
      <c r="C16" s="5"/>
      <c r="D16" s="5"/>
      <c r="E16" s="5"/>
      <c r="F16" s="5"/>
      <c r="G16" s="5"/>
      <c r="H16" s="5"/>
      <c r="I16" s="5"/>
    </row>
    <row r="17" spans="1:9" x14ac:dyDescent="0.35">
      <c r="A17" s="6" t="s">
        <v>24</v>
      </c>
      <c r="B17" s="6" t="s">
        <v>20</v>
      </c>
      <c r="C17" s="7">
        <v>27.8</v>
      </c>
      <c r="D17" s="7">
        <v>28</v>
      </c>
      <c r="E17" s="7">
        <v>26.5</v>
      </c>
      <c r="F17" s="7">
        <v>26.1</v>
      </c>
      <c r="G17" s="8">
        <v>26.1</v>
      </c>
      <c r="H17" s="7">
        <v>26.5</v>
      </c>
      <c r="I17" s="7">
        <f>G17-F17</f>
        <v>0</v>
      </c>
    </row>
    <row r="18" spans="1:9" x14ac:dyDescent="0.35">
      <c r="A18" s="6" t="s">
        <v>25</v>
      </c>
      <c r="B18" s="6" t="s">
        <v>20</v>
      </c>
      <c r="C18" s="7">
        <v>32.9</v>
      </c>
      <c r="D18" s="7">
        <v>32.9</v>
      </c>
      <c r="E18" s="7">
        <v>30.7</v>
      </c>
      <c r="F18" s="7">
        <v>30.2</v>
      </c>
      <c r="G18" s="8">
        <v>29.6</v>
      </c>
      <c r="H18" s="7">
        <v>29.5</v>
      </c>
      <c r="I18" s="7">
        <f>G18-F18</f>
        <v>-0.59999999999999787</v>
      </c>
    </row>
    <row r="19" spans="1:9" x14ac:dyDescent="0.35">
      <c r="A19" s="6" t="s">
        <v>26</v>
      </c>
      <c r="B19" s="6" t="s">
        <v>20</v>
      </c>
      <c r="C19" s="7">
        <v>-5.0999999999999996</v>
      </c>
      <c r="D19" s="7">
        <v>-4.8</v>
      </c>
      <c r="E19" s="7">
        <v>-4.2</v>
      </c>
      <c r="F19" s="7">
        <v>-4.0999999999999996</v>
      </c>
      <c r="G19" s="8">
        <v>-3.5</v>
      </c>
      <c r="H19" s="7">
        <v>-3</v>
      </c>
      <c r="I19" s="7">
        <f>G19-F19</f>
        <v>0.59999999999999964</v>
      </c>
    </row>
    <row r="20" spans="1:9" x14ac:dyDescent="0.35">
      <c r="A20" s="6" t="s">
        <v>27</v>
      </c>
      <c r="B20" s="6" t="s">
        <v>20</v>
      </c>
      <c r="C20" s="7">
        <v>-3.2</v>
      </c>
      <c r="D20" s="7">
        <v>-3.6</v>
      </c>
      <c r="E20" s="7">
        <v>-1.9</v>
      </c>
      <c r="F20" s="7">
        <v>-2.4</v>
      </c>
      <c r="G20" s="8">
        <v>-1.9</v>
      </c>
      <c r="H20" s="7">
        <v>-1.3</v>
      </c>
      <c r="I20" s="7">
        <f>G20-F20</f>
        <v>0.5</v>
      </c>
    </row>
    <row r="21" spans="1:9" x14ac:dyDescent="0.35">
      <c r="A21" s="6" t="s">
        <v>28</v>
      </c>
      <c r="B21" s="6" t="s">
        <v>20</v>
      </c>
      <c r="C21" s="7">
        <v>61.7</v>
      </c>
      <c r="D21" s="7">
        <v>63.3</v>
      </c>
      <c r="E21" s="7">
        <v>63.7</v>
      </c>
      <c r="F21" s="7">
        <v>64.7</v>
      </c>
      <c r="G21" s="8">
        <v>64.3</v>
      </c>
      <c r="H21" s="7">
        <v>64</v>
      </c>
      <c r="I21" s="7">
        <f>G21-F21</f>
        <v>-0.40000000000000568</v>
      </c>
    </row>
    <row r="22" spans="1:9" x14ac:dyDescent="0.35">
      <c r="A22" s="4" t="s">
        <v>29</v>
      </c>
      <c r="B22" s="4"/>
      <c r="C22" s="5"/>
      <c r="D22" s="5"/>
      <c r="E22" s="5"/>
      <c r="F22" s="5"/>
      <c r="G22" s="5"/>
      <c r="H22" s="5"/>
      <c r="I22" s="5"/>
    </row>
    <row r="23" spans="1:9" x14ac:dyDescent="0.35">
      <c r="A23" s="6" t="s">
        <v>30</v>
      </c>
      <c r="B23" s="6" t="s">
        <v>13</v>
      </c>
      <c r="C23" s="7">
        <v>3.8</v>
      </c>
      <c r="D23" s="7">
        <v>2.5</v>
      </c>
      <c r="E23" s="7">
        <v>2</v>
      </c>
      <c r="F23" s="7">
        <v>4.3</v>
      </c>
      <c r="G23" s="8">
        <v>5.7</v>
      </c>
      <c r="H23" s="7" t="s">
        <v>31</v>
      </c>
      <c r="I23" s="7">
        <f>G23-F23</f>
        <v>1.4000000000000004</v>
      </c>
    </row>
    <row r="24" spans="1:9" x14ac:dyDescent="0.35">
      <c r="A24" s="6" t="s">
        <v>32</v>
      </c>
      <c r="B24" s="6" t="s">
        <v>13</v>
      </c>
      <c r="C24" s="7">
        <v>3.1</v>
      </c>
      <c r="D24" s="7">
        <v>6.2</v>
      </c>
      <c r="E24" s="7">
        <v>5.7</v>
      </c>
      <c r="F24" s="7">
        <v>5</v>
      </c>
      <c r="G24" s="8">
        <v>6</v>
      </c>
      <c r="H24" s="7" t="s">
        <v>31</v>
      </c>
      <c r="I24" s="7">
        <f>G24-F24</f>
        <v>1</v>
      </c>
    </row>
    <row r="25" spans="1:9" x14ac:dyDescent="0.35">
      <c r="A25" s="4" t="s">
        <v>33</v>
      </c>
      <c r="B25" s="4"/>
      <c r="C25" s="5"/>
      <c r="D25" s="5"/>
      <c r="E25" s="5"/>
      <c r="F25" s="5"/>
      <c r="G25" s="5"/>
      <c r="H25" s="5"/>
      <c r="I25" s="5"/>
    </row>
    <row r="26" spans="1:9" x14ac:dyDescent="0.35">
      <c r="A26" s="6" t="s">
        <v>34</v>
      </c>
      <c r="B26" s="6" t="s">
        <v>13</v>
      </c>
      <c r="C26" s="7">
        <v>4.5</v>
      </c>
      <c r="D26" s="7">
        <v>7.4</v>
      </c>
      <c r="E26" s="7">
        <v>-7</v>
      </c>
      <c r="F26" s="7">
        <v>2.9</v>
      </c>
      <c r="G26" s="8">
        <v>6.5</v>
      </c>
      <c r="H26" s="7">
        <v>7.2</v>
      </c>
      <c r="I26" s="7">
        <f t="shared" ref="I26:I35" si="0">G26-F26</f>
        <v>3.6</v>
      </c>
    </row>
    <row r="27" spans="1:9" x14ac:dyDescent="0.35">
      <c r="A27" s="6" t="s">
        <v>35</v>
      </c>
      <c r="B27" s="6" t="s">
        <v>13</v>
      </c>
      <c r="C27" s="7">
        <v>4.3</v>
      </c>
      <c r="D27" s="7">
        <v>1</v>
      </c>
      <c r="E27" s="7">
        <v>-16.5</v>
      </c>
      <c r="F27" s="7">
        <v>9.6</v>
      </c>
      <c r="G27" s="8">
        <v>5.3</v>
      </c>
      <c r="H27" s="7">
        <v>6</v>
      </c>
      <c r="I27" s="7">
        <f t="shared" si="0"/>
        <v>-4.3</v>
      </c>
    </row>
    <row r="28" spans="1:9" x14ac:dyDescent="0.35">
      <c r="A28" s="6" t="s">
        <v>36</v>
      </c>
      <c r="B28" s="6" t="s">
        <v>20</v>
      </c>
      <c r="C28" s="7">
        <v>-20.5</v>
      </c>
      <c r="D28" s="7">
        <v>-18.7</v>
      </c>
      <c r="E28" s="7">
        <v>-14.5</v>
      </c>
      <c r="F28" s="7">
        <v>-17.100000000000001</v>
      </c>
      <c r="G28" s="8">
        <v>-16.399999999999999</v>
      </c>
      <c r="H28" s="7">
        <v>-16</v>
      </c>
      <c r="I28" s="7">
        <f t="shared" si="0"/>
        <v>0.70000000000000284</v>
      </c>
    </row>
    <row r="29" spans="1:9" x14ac:dyDescent="0.35">
      <c r="A29" s="6" t="s">
        <v>37</v>
      </c>
      <c r="B29" s="6" t="s">
        <v>20</v>
      </c>
      <c r="C29" s="7">
        <v>-8.3000000000000007</v>
      </c>
      <c r="D29" s="7">
        <v>-7.6</v>
      </c>
      <c r="E29" s="7">
        <v>-2.6</v>
      </c>
      <c r="F29" s="7">
        <v>-5.3</v>
      </c>
      <c r="G29" s="8">
        <v>-4.8</v>
      </c>
      <c r="H29" s="7">
        <v>-4.3</v>
      </c>
      <c r="I29" s="7">
        <f t="shared" si="0"/>
        <v>0.5</v>
      </c>
    </row>
    <row r="30" spans="1:9" x14ac:dyDescent="0.35">
      <c r="A30" s="6" t="s">
        <v>38</v>
      </c>
      <c r="B30" s="6" t="s">
        <v>20</v>
      </c>
      <c r="C30" s="7">
        <v>-7.6</v>
      </c>
      <c r="D30" s="7">
        <v>-5.9</v>
      </c>
      <c r="E30" s="7">
        <v>-2.1</v>
      </c>
      <c r="F30" s="7">
        <v>-4.4000000000000004</v>
      </c>
      <c r="G30" s="8">
        <v>-3.9</v>
      </c>
      <c r="H30" s="7">
        <v>-3.7</v>
      </c>
      <c r="I30" s="7">
        <f t="shared" si="0"/>
        <v>0.50000000000000044</v>
      </c>
    </row>
    <row r="31" spans="1:9" x14ac:dyDescent="0.35">
      <c r="A31" s="6" t="s">
        <v>39</v>
      </c>
      <c r="B31" s="6" t="s">
        <v>20</v>
      </c>
      <c r="C31" s="7">
        <v>2.8</v>
      </c>
      <c r="D31" s="7">
        <v>2.8</v>
      </c>
      <c r="E31" s="7">
        <v>2.6</v>
      </c>
      <c r="F31" s="7">
        <v>1.6</v>
      </c>
      <c r="G31" s="8">
        <v>1.9</v>
      </c>
      <c r="H31" s="7">
        <v>2.4</v>
      </c>
      <c r="I31" s="7">
        <f t="shared" si="0"/>
        <v>0.29999999999999982</v>
      </c>
    </row>
    <row r="32" spans="1:9" x14ac:dyDescent="0.35">
      <c r="A32" s="6" t="s">
        <v>40</v>
      </c>
      <c r="B32" s="6" t="s">
        <v>20</v>
      </c>
      <c r="C32" s="7">
        <v>29.3</v>
      </c>
      <c r="D32" s="7">
        <v>33.299999999999997</v>
      </c>
      <c r="E32" s="7">
        <v>33.9</v>
      </c>
      <c r="F32" s="7">
        <v>34.6</v>
      </c>
      <c r="G32" s="8">
        <v>33.5</v>
      </c>
      <c r="H32" s="7">
        <v>33.9</v>
      </c>
      <c r="I32" s="7">
        <f t="shared" si="0"/>
        <v>-1.1000000000000014</v>
      </c>
    </row>
    <row r="33" spans="1:9" x14ac:dyDescent="0.35">
      <c r="A33" s="6" t="s">
        <v>41</v>
      </c>
      <c r="B33" s="6" t="s">
        <v>42</v>
      </c>
      <c r="C33" s="7">
        <v>19</v>
      </c>
      <c r="D33" s="7">
        <v>20.5</v>
      </c>
      <c r="E33" s="7">
        <v>23</v>
      </c>
      <c r="F33" s="7">
        <v>25.4</v>
      </c>
      <c r="G33" s="8">
        <v>24.8</v>
      </c>
      <c r="H33" s="7">
        <v>27.6</v>
      </c>
      <c r="I33" s="7">
        <f t="shared" si="0"/>
        <v>-0.59999999999999787</v>
      </c>
    </row>
    <row r="34" spans="1:9" x14ac:dyDescent="0.35">
      <c r="A34" s="6" t="s">
        <v>43</v>
      </c>
      <c r="B34" s="6" t="s">
        <v>44</v>
      </c>
      <c r="C34" s="7">
        <v>4.5999999999999996</v>
      </c>
      <c r="D34" s="7">
        <v>6</v>
      </c>
      <c r="E34" s="7">
        <v>6.1</v>
      </c>
      <c r="F34" s="7">
        <v>6.4</v>
      </c>
      <c r="G34" s="8">
        <v>5.9</v>
      </c>
      <c r="H34" s="7">
        <v>6.2</v>
      </c>
      <c r="I34" s="7">
        <f t="shared" si="0"/>
        <v>-0.5</v>
      </c>
    </row>
    <row r="35" spans="1:9" x14ac:dyDescent="0.35">
      <c r="A35" s="6" t="s">
        <v>45</v>
      </c>
      <c r="B35" s="6" t="s">
        <v>46</v>
      </c>
      <c r="C35" s="7">
        <v>74.3</v>
      </c>
      <c r="D35" s="7">
        <v>79.900000000000006</v>
      </c>
      <c r="E35" s="7">
        <v>94.7</v>
      </c>
      <c r="F35" s="7">
        <v>99.3</v>
      </c>
      <c r="G35" s="8">
        <v>90.3</v>
      </c>
      <c r="H35" s="7">
        <v>93.8</v>
      </c>
      <c r="I35" s="7">
        <f t="shared" si="0"/>
        <v>-9</v>
      </c>
    </row>
    <row r="36" spans="1:9" x14ac:dyDescent="0.35">
      <c r="A36" s="4" t="s">
        <v>47</v>
      </c>
      <c r="B36" s="4"/>
      <c r="C36" s="5"/>
      <c r="D36" s="5"/>
      <c r="E36" s="5"/>
      <c r="F36" s="5"/>
      <c r="G36" s="5"/>
      <c r="H36" s="5"/>
      <c r="I36" s="5"/>
    </row>
    <row r="37" spans="1:9" x14ac:dyDescent="0.35">
      <c r="A37" s="6" t="s">
        <v>48</v>
      </c>
      <c r="B37" s="6" t="s">
        <v>42</v>
      </c>
      <c r="C37" s="7">
        <v>106.8</v>
      </c>
      <c r="D37" s="7">
        <v>110.1</v>
      </c>
      <c r="E37" s="7">
        <v>101.2</v>
      </c>
      <c r="F37" s="7">
        <v>103.6</v>
      </c>
      <c r="G37" s="8">
        <v>110</v>
      </c>
      <c r="H37" s="7">
        <v>117.6</v>
      </c>
      <c r="I37" s="7">
        <f>G37-F37</f>
        <v>6.4000000000000057</v>
      </c>
    </row>
    <row r="38" spans="1:9" x14ac:dyDescent="0.35">
      <c r="A38" s="6" t="s">
        <v>49</v>
      </c>
      <c r="B38" s="6" t="s">
        <v>46</v>
      </c>
      <c r="C38" s="7">
        <v>9.1999999999999993</v>
      </c>
      <c r="D38" s="7">
        <v>9.9</v>
      </c>
      <c r="E38" s="7">
        <v>9.6999999999999993</v>
      </c>
      <c r="F38" s="7">
        <v>9.4</v>
      </c>
      <c r="G38" s="8">
        <v>9.3000000000000007</v>
      </c>
      <c r="H38" s="7" t="s">
        <v>31</v>
      </c>
      <c r="I38" s="7">
        <f>G38-F38</f>
        <v>-9.9999999999999645E-2</v>
      </c>
    </row>
    <row r="39" spans="1:9" x14ac:dyDescent="0.35">
      <c r="A39" s="6" t="s">
        <v>50</v>
      </c>
      <c r="B39" s="6" t="s">
        <v>51</v>
      </c>
      <c r="C39" s="7">
        <v>33.4</v>
      </c>
      <c r="D39" s="7">
        <v>33.799999999999997</v>
      </c>
      <c r="E39" s="7">
        <v>34.1</v>
      </c>
      <c r="F39" s="7">
        <v>34.5</v>
      </c>
      <c r="G39" s="8">
        <v>34.9</v>
      </c>
      <c r="H39" s="7">
        <v>35.200000000000003</v>
      </c>
      <c r="I39" s="7">
        <f>G39-F39</f>
        <v>0.39999999999999858</v>
      </c>
    </row>
    <row r="40" spans="1:9" x14ac:dyDescent="0.35">
      <c r="A40" s="6" t="s">
        <v>52</v>
      </c>
      <c r="B40" s="6" t="s">
        <v>46</v>
      </c>
      <c r="C40" s="9">
        <v>1.21</v>
      </c>
      <c r="D40" s="9">
        <v>1.17</v>
      </c>
      <c r="E40" s="9">
        <v>1.05</v>
      </c>
      <c r="F40" s="9">
        <v>1.06</v>
      </c>
      <c r="G40" s="10">
        <v>1.06</v>
      </c>
      <c r="H40" s="9">
        <v>1.06</v>
      </c>
      <c r="I40" s="9">
        <f>G40-F40</f>
        <v>0</v>
      </c>
    </row>
    <row r="41" spans="1:9" x14ac:dyDescent="0.35">
      <c r="A41" s="6" t="s">
        <v>53</v>
      </c>
      <c r="B41" s="6" t="s">
        <v>42</v>
      </c>
      <c r="C41" s="7">
        <v>-12.2</v>
      </c>
      <c r="D41" s="7">
        <v>-11</v>
      </c>
      <c r="E41" s="7">
        <v>-6.8</v>
      </c>
      <c r="F41" s="7">
        <v>-5.5</v>
      </c>
      <c r="G41" s="8">
        <v>-6.9</v>
      </c>
      <c r="H41" s="7">
        <v>-7.3</v>
      </c>
      <c r="I41" s="7">
        <f>G41-F41</f>
        <v>-1.4000000000000004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pane ySplit="4" topLeftCell="A5" activePane="bottomLeft" state="frozen"/>
      <selection pane="bottomLeft" activeCell="A29" sqref="A28:G29"/>
    </sheetView>
  </sheetViews>
  <sheetFormatPr baseColWidth="10" defaultColWidth="8.6328125" defaultRowHeight="14.5" x14ac:dyDescent="0.35"/>
  <cols>
    <col min="1" max="1" width="66" customWidth="1"/>
    <col min="2" max="2" width="17" customWidth="1"/>
    <col min="3" max="3" width="19" customWidth="1"/>
  </cols>
  <sheetData>
    <row r="1" spans="1:3" ht="18" x14ac:dyDescent="0.4">
      <c r="A1" s="1" t="s">
        <v>54</v>
      </c>
    </row>
    <row r="2" spans="1:3" x14ac:dyDescent="0.35">
      <c r="A2" s="2" t="s">
        <v>55</v>
      </c>
    </row>
    <row r="4" spans="1:3" x14ac:dyDescent="0.35">
      <c r="A4" s="3" t="s">
        <v>56</v>
      </c>
      <c r="B4" s="3" t="s">
        <v>57</v>
      </c>
      <c r="C4" s="3" t="s">
        <v>58</v>
      </c>
    </row>
    <row r="5" spans="1:3" x14ac:dyDescent="0.35">
      <c r="A5" s="11" t="s">
        <v>24</v>
      </c>
      <c r="B5" s="12">
        <v>278.3</v>
      </c>
      <c r="C5" s="13">
        <f t="shared" ref="C5:C24" si="0">B5/$B$26</f>
        <v>0.26099596736378133</v>
      </c>
    </row>
    <row r="6" spans="1:3" x14ac:dyDescent="0.35">
      <c r="A6" s="6" t="s">
        <v>59</v>
      </c>
      <c r="B6" s="14">
        <v>232.9</v>
      </c>
      <c r="C6" s="15">
        <f t="shared" si="0"/>
        <v>0.21841883147331898</v>
      </c>
    </row>
    <row r="7" spans="1:3" x14ac:dyDescent="0.35">
      <c r="A7" s="6" t="s">
        <v>60</v>
      </c>
      <c r="B7" s="14">
        <v>90.1</v>
      </c>
      <c r="C7" s="15">
        <f t="shared" si="0"/>
        <v>8.4497796117415355E-2</v>
      </c>
    </row>
    <row r="8" spans="1:3" x14ac:dyDescent="0.35">
      <c r="A8" s="6" t="s">
        <v>61</v>
      </c>
      <c r="B8" s="14">
        <v>15.7</v>
      </c>
      <c r="C8" s="15">
        <f t="shared" si="0"/>
        <v>1.472381131013786E-2</v>
      </c>
    </row>
    <row r="9" spans="1:3" x14ac:dyDescent="0.35">
      <c r="A9" s="6" t="s">
        <v>62</v>
      </c>
      <c r="B9" s="14">
        <v>111.8</v>
      </c>
      <c r="C9" s="15">
        <f t="shared" si="0"/>
        <v>0.10484854168620464</v>
      </c>
    </row>
    <row r="10" spans="1:3" x14ac:dyDescent="0.35">
      <c r="A10" s="6" t="s">
        <v>63</v>
      </c>
      <c r="B10" s="14">
        <v>9.3000000000000007</v>
      </c>
      <c r="C10" s="15">
        <f t="shared" si="0"/>
        <v>8.7217481009096882E-3</v>
      </c>
    </row>
    <row r="11" spans="1:3" x14ac:dyDescent="0.35">
      <c r="A11" s="6" t="s">
        <v>64</v>
      </c>
      <c r="B11" s="14">
        <v>6</v>
      </c>
      <c r="C11" s="15">
        <f t="shared" si="0"/>
        <v>5.626934258651412E-3</v>
      </c>
    </row>
    <row r="12" spans="1:3" x14ac:dyDescent="0.35">
      <c r="A12" s="6" t="s">
        <v>65</v>
      </c>
      <c r="B12" s="14">
        <v>10.199999999999999</v>
      </c>
      <c r="C12" s="15">
        <f t="shared" si="0"/>
        <v>9.5657882397073984E-3</v>
      </c>
    </row>
    <row r="13" spans="1:3" x14ac:dyDescent="0.35">
      <c r="A13" s="6" t="s">
        <v>66</v>
      </c>
      <c r="B13" s="14">
        <v>35.299999999999997</v>
      </c>
      <c r="C13" s="15">
        <f t="shared" si="0"/>
        <v>3.3105129888399136E-2</v>
      </c>
    </row>
    <row r="14" spans="1:3" x14ac:dyDescent="0.35">
      <c r="A14" s="11" t="s">
        <v>67</v>
      </c>
      <c r="B14" s="12">
        <v>258.3</v>
      </c>
      <c r="C14" s="13">
        <f t="shared" si="0"/>
        <v>0.2422395198349433</v>
      </c>
    </row>
    <row r="15" spans="1:3" x14ac:dyDescent="0.35">
      <c r="A15" s="6" t="s">
        <v>68</v>
      </c>
      <c r="B15" s="14">
        <v>125.2</v>
      </c>
      <c r="C15" s="15">
        <f t="shared" si="0"/>
        <v>0.11741536153052613</v>
      </c>
    </row>
    <row r="16" spans="1:3" x14ac:dyDescent="0.35">
      <c r="A16" s="6" t="s">
        <v>69</v>
      </c>
      <c r="B16" s="14">
        <v>76.099999999999994</v>
      </c>
      <c r="C16" s="15">
        <f t="shared" si="0"/>
        <v>7.1368282847228737E-2</v>
      </c>
    </row>
    <row r="17" spans="1:3" x14ac:dyDescent="0.35">
      <c r="A17" s="6" t="s">
        <v>70</v>
      </c>
      <c r="B17" s="14">
        <v>26.2</v>
      </c>
      <c r="C17" s="15">
        <f t="shared" si="0"/>
        <v>2.4570946262777831E-2</v>
      </c>
    </row>
    <row r="18" spans="1:3" x14ac:dyDescent="0.35">
      <c r="A18" s="6" t="s">
        <v>71</v>
      </c>
      <c r="B18" s="14">
        <v>49.9</v>
      </c>
      <c r="C18" s="15">
        <f t="shared" si="0"/>
        <v>4.6797336584450906E-2</v>
      </c>
    </row>
    <row r="19" spans="1:3" x14ac:dyDescent="0.35">
      <c r="A19" s="6" t="s">
        <v>72</v>
      </c>
      <c r="B19" s="14">
        <v>27.6</v>
      </c>
      <c r="C19" s="15">
        <f t="shared" si="0"/>
        <v>2.5883897589796496E-2</v>
      </c>
    </row>
    <row r="20" spans="1:3" x14ac:dyDescent="0.35">
      <c r="A20" s="6" t="s">
        <v>73</v>
      </c>
      <c r="B20" s="14">
        <v>14.7</v>
      </c>
      <c r="C20" s="15">
        <f t="shared" si="0"/>
        <v>1.3785988933695958E-2</v>
      </c>
    </row>
    <row r="21" spans="1:3" x14ac:dyDescent="0.35">
      <c r="A21" s="6" t="s">
        <v>74</v>
      </c>
      <c r="B21" s="14">
        <v>14.8</v>
      </c>
      <c r="C21" s="15">
        <f t="shared" si="0"/>
        <v>1.3879771171340149E-2</v>
      </c>
    </row>
    <row r="22" spans="1:3" x14ac:dyDescent="0.35">
      <c r="A22" s="11" t="s">
        <v>75</v>
      </c>
      <c r="B22" s="12">
        <v>57.8</v>
      </c>
      <c r="C22" s="13">
        <f t="shared" si="0"/>
        <v>5.4206133358341929E-2</v>
      </c>
    </row>
    <row r="23" spans="1:3" x14ac:dyDescent="0.35">
      <c r="A23" s="11" t="s">
        <v>76</v>
      </c>
      <c r="B23" s="12">
        <v>-37.700000000000003</v>
      </c>
      <c r="C23" s="13">
        <f t="shared" si="0"/>
        <v>-3.5355903591859708E-2</v>
      </c>
    </row>
    <row r="24" spans="1:3" x14ac:dyDescent="0.35">
      <c r="A24" s="11" t="s">
        <v>77</v>
      </c>
      <c r="B24" s="12">
        <v>-47.9</v>
      </c>
      <c r="C24" s="13">
        <f t="shared" si="0"/>
        <v>-4.49216918315671E-2</v>
      </c>
    </row>
    <row r="26" spans="1:3" x14ac:dyDescent="0.35">
      <c r="A26" s="16" t="s">
        <v>78</v>
      </c>
      <c r="B26" s="17">
        <v>1066.3</v>
      </c>
      <c r="C26" s="18"/>
    </row>
    <row r="27" spans="1:3" x14ac:dyDescent="0.35">
      <c r="A27" s="6" t="s">
        <v>79</v>
      </c>
      <c r="B27" s="6"/>
      <c r="C27" s="19">
        <v>0.64300000000000002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2" customWidth="1"/>
    <col min="2" max="2" width="17" customWidth="1"/>
  </cols>
  <sheetData>
    <row r="1" spans="1:2" ht="18" x14ac:dyDescent="0.4">
      <c r="A1" s="1" t="s">
        <v>80</v>
      </c>
    </row>
    <row r="2" spans="1:2" x14ac:dyDescent="0.35">
      <c r="A2" s="2" t="s">
        <v>81</v>
      </c>
    </row>
    <row r="4" spans="1:2" x14ac:dyDescent="0.35">
      <c r="A4" s="3" t="s">
        <v>56</v>
      </c>
      <c r="B4" s="3" t="s">
        <v>82</v>
      </c>
    </row>
    <row r="5" spans="1:2" x14ac:dyDescent="0.35">
      <c r="A5" s="11" t="s">
        <v>83</v>
      </c>
      <c r="B5" s="20">
        <v>-4.3</v>
      </c>
    </row>
    <row r="6" spans="1:2" x14ac:dyDescent="0.35">
      <c r="A6" s="11" t="s">
        <v>84</v>
      </c>
      <c r="B6" s="20">
        <v>-18</v>
      </c>
    </row>
    <row r="7" spans="1:2" x14ac:dyDescent="0.35">
      <c r="A7" s="6" t="s">
        <v>85</v>
      </c>
      <c r="B7" s="21">
        <v>20.5</v>
      </c>
    </row>
    <row r="8" spans="1:2" x14ac:dyDescent="0.35">
      <c r="A8" s="6" t="s">
        <v>86</v>
      </c>
      <c r="B8" s="21">
        <v>5</v>
      </c>
    </row>
    <row r="9" spans="1:2" x14ac:dyDescent="0.35">
      <c r="A9" s="6" t="s">
        <v>87</v>
      </c>
      <c r="B9" s="21">
        <v>4.3</v>
      </c>
    </row>
    <row r="10" spans="1:2" x14ac:dyDescent="0.35">
      <c r="A10" s="6" t="s">
        <v>88</v>
      </c>
      <c r="B10" s="21">
        <v>5.9</v>
      </c>
    </row>
    <row r="11" spans="1:2" x14ac:dyDescent="0.35">
      <c r="A11" s="6" t="s">
        <v>89</v>
      </c>
      <c r="B11" s="21">
        <v>-38.5</v>
      </c>
    </row>
    <row r="12" spans="1:2" x14ac:dyDescent="0.35">
      <c r="A12" s="6" t="s">
        <v>90</v>
      </c>
      <c r="B12" s="21">
        <v>-6.9</v>
      </c>
    </row>
    <row r="13" spans="1:2" x14ac:dyDescent="0.35">
      <c r="A13" s="6" t="s">
        <v>91</v>
      </c>
      <c r="B13" s="21">
        <v>-10.7</v>
      </c>
    </row>
    <row r="14" spans="1:2" x14ac:dyDescent="0.35">
      <c r="A14" s="6" t="s">
        <v>86</v>
      </c>
      <c r="B14" s="21">
        <v>-4.2</v>
      </c>
    </row>
    <row r="15" spans="1:2" x14ac:dyDescent="0.35">
      <c r="A15" s="11" t="s">
        <v>92</v>
      </c>
      <c r="B15" s="20">
        <v>6.9</v>
      </c>
    </row>
    <row r="16" spans="1:2" x14ac:dyDescent="0.35">
      <c r="A16" s="6" t="s">
        <v>93</v>
      </c>
      <c r="B16" s="21">
        <v>6.9</v>
      </c>
    </row>
    <row r="17" spans="1:2" x14ac:dyDescent="0.35">
      <c r="A17" s="11" t="s">
        <v>94</v>
      </c>
      <c r="B17" s="20">
        <v>-1.9</v>
      </c>
    </row>
    <row r="18" spans="1:2" x14ac:dyDescent="0.35">
      <c r="A18" s="11" t="s">
        <v>95</v>
      </c>
      <c r="B18" s="20">
        <v>8.6999999999999993</v>
      </c>
    </row>
    <row r="19" spans="1:2" x14ac:dyDescent="0.35">
      <c r="A19" s="6" t="s">
        <v>96</v>
      </c>
      <c r="B19" s="21">
        <v>7.7</v>
      </c>
    </row>
    <row r="20" spans="1:2" x14ac:dyDescent="0.35">
      <c r="A20" s="6" t="s">
        <v>97</v>
      </c>
      <c r="B20" s="21">
        <v>6.6</v>
      </c>
    </row>
    <row r="21" spans="1:2" x14ac:dyDescent="0.35">
      <c r="A21" s="6" t="s">
        <v>98</v>
      </c>
      <c r="B21" s="21">
        <v>1</v>
      </c>
    </row>
    <row r="22" spans="1:2" x14ac:dyDescent="0.35">
      <c r="A22" s="11" t="s">
        <v>99</v>
      </c>
      <c r="B22" s="20">
        <v>0</v>
      </c>
    </row>
    <row r="23" spans="1:2" x14ac:dyDescent="0.35">
      <c r="A23" s="11" t="s">
        <v>100</v>
      </c>
      <c r="B23" s="20">
        <v>2.2000000000000002</v>
      </c>
    </row>
    <row r="24" spans="1:2" x14ac:dyDescent="0.35">
      <c r="A24" s="6" t="s">
        <v>101</v>
      </c>
      <c r="B24" s="21">
        <v>2.1</v>
      </c>
    </row>
    <row r="25" spans="1:2" x14ac:dyDescent="0.35">
      <c r="A25" s="6" t="s">
        <v>102</v>
      </c>
      <c r="B25" s="21">
        <v>-0.5</v>
      </c>
    </row>
    <row r="26" spans="1:2" x14ac:dyDescent="0.35">
      <c r="A26" s="6" t="s">
        <v>103</v>
      </c>
      <c r="B26" s="21">
        <v>0.6</v>
      </c>
    </row>
    <row r="27" spans="1:2" x14ac:dyDescent="0.35">
      <c r="A27" s="6" t="s">
        <v>104</v>
      </c>
      <c r="B27" s="21">
        <v>0</v>
      </c>
    </row>
    <row r="28" spans="1:2" x14ac:dyDescent="0.35">
      <c r="A28" s="6" t="s">
        <v>105</v>
      </c>
      <c r="B28" s="21">
        <v>0.6</v>
      </c>
    </row>
    <row r="29" spans="1:2" x14ac:dyDescent="0.35">
      <c r="A29" s="11" t="s">
        <v>106</v>
      </c>
      <c r="B29" s="20">
        <v>2.1</v>
      </c>
    </row>
    <row r="30" spans="1:2" x14ac:dyDescent="0.35">
      <c r="A30" s="11" t="s">
        <v>107</v>
      </c>
      <c r="B30" s="2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zoomScaleNormal="100" workbookViewId="0">
      <pane ySplit="4" topLeftCell="A27" activePane="bottomLeft" state="frozen"/>
      <selection pane="bottomLeft" activeCell="A31" sqref="A31:E34"/>
    </sheetView>
  </sheetViews>
  <sheetFormatPr baseColWidth="10" defaultColWidth="8.6328125" defaultRowHeight="14.5" x14ac:dyDescent="0.35"/>
  <cols>
    <col min="1" max="1" width="66" customWidth="1"/>
    <col min="2" max="2" width="17" customWidth="1"/>
    <col min="3" max="3" width="14" customWidth="1"/>
  </cols>
  <sheetData>
    <row r="1" spans="1:3" ht="18" x14ac:dyDescent="0.4">
      <c r="A1" s="1" t="s">
        <v>108</v>
      </c>
    </row>
    <row r="2" spans="1:3" x14ac:dyDescent="0.35">
      <c r="A2" s="2" t="s">
        <v>109</v>
      </c>
    </row>
    <row r="4" spans="1:3" x14ac:dyDescent="0.35">
      <c r="A4" s="3" t="s">
        <v>2</v>
      </c>
      <c r="B4" s="3" t="s">
        <v>3</v>
      </c>
      <c r="C4" s="3" t="s">
        <v>8</v>
      </c>
    </row>
    <row r="5" spans="1:3" x14ac:dyDescent="0.35">
      <c r="A5" s="4" t="s">
        <v>110</v>
      </c>
      <c r="B5" s="4"/>
      <c r="C5" s="5"/>
    </row>
    <row r="6" spans="1:3" x14ac:dyDescent="0.35">
      <c r="A6" s="6" t="s">
        <v>111</v>
      </c>
      <c r="B6" s="6" t="s">
        <v>112</v>
      </c>
      <c r="C6" s="22">
        <v>228.7</v>
      </c>
    </row>
    <row r="7" spans="1:3" x14ac:dyDescent="0.35">
      <c r="A7" s="6" t="s">
        <v>113</v>
      </c>
      <c r="B7" s="6" t="s">
        <v>112</v>
      </c>
      <c r="C7" s="22">
        <v>234.6</v>
      </c>
    </row>
    <row r="8" spans="1:3" x14ac:dyDescent="0.35">
      <c r="A8" s="6" t="s">
        <v>114</v>
      </c>
      <c r="B8" s="6" t="s">
        <v>112</v>
      </c>
      <c r="C8" s="22">
        <v>1049.4000000000001</v>
      </c>
    </row>
    <row r="9" spans="1:3" x14ac:dyDescent="0.35">
      <c r="A9" s="6" t="s">
        <v>115</v>
      </c>
      <c r="B9" s="6" t="s">
        <v>112</v>
      </c>
      <c r="C9" s="22">
        <v>1014.7</v>
      </c>
    </row>
    <row r="10" spans="1:3" x14ac:dyDescent="0.35">
      <c r="A10" s="6" t="s">
        <v>116</v>
      </c>
      <c r="B10" s="6" t="s">
        <v>112</v>
      </c>
      <c r="C10" s="22">
        <v>139.6</v>
      </c>
    </row>
    <row r="11" spans="1:3" x14ac:dyDescent="0.35">
      <c r="A11" s="6" t="s">
        <v>117</v>
      </c>
      <c r="B11" s="6" t="s">
        <v>112</v>
      </c>
      <c r="C11" s="22">
        <v>875.1</v>
      </c>
    </row>
    <row r="12" spans="1:3" x14ac:dyDescent="0.35">
      <c r="A12" s="6" t="s">
        <v>32</v>
      </c>
      <c r="B12" s="6" t="s">
        <v>112</v>
      </c>
      <c r="C12" s="22">
        <v>1278.0999999999999</v>
      </c>
    </row>
    <row r="13" spans="1:3" x14ac:dyDescent="0.35">
      <c r="A13" s="6" t="s">
        <v>118</v>
      </c>
      <c r="B13" s="6" t="s">
        <v>112</v>
      </c>
      <c r="C13" s="22">
        <v>800.1</v>
      </c>
    </row>
    <row r="14" spans="1:3" x14ac:dyDescent="0.35">
      <c r="A14" s="6" t="s">
        <v>119</v>
      </c>
      <c r="B14" s="6" t="s">
        <v>112</v>
      </c>
      <c r="C14" s="22">
        <v>213.5</v>
      </c>
    </row>
    <row r="15" spans="1:3" x14ac:dyDescent="0.35">
      <c r="A15" s="6" t="s">
        <v>120</v>
      </c>
      <c r="B15" s="6" t="s">
        <v>112</v>
      </c>
      <c r="C15" s="22">
        <v>586.70000000000005</v>
      </c>
    </row>
    <row r="16" spans="1:3" x14ac:dyDescent="0.35">
      <c r="A16" s="6" t="s">
        <v>121</v>
      </c>
      <c r="B16" s="6" t="s">
        <v>112</v>
      </c>
      <c r="C16" s="22">
        <v>426.4</v>
      </c>
    </row>
    <row r="17" spans="1:3" x14ac:dyDescent="0.35">
      <c r="A17" s="6" t="s">
        <v>122</v>
      </c>
      <c r="B17" s="6" t="s">
        <v>112</v>
      </c>
      <c r="C17" s="22">
        <v>51.6</v>
      </c>
    </row>
    <row r="18" spans="1:3" x14ac:dyDescent="0.35">
      <c r="A18" s="6" t="s">
        <v>123</v>
      </c>
      <c r="B18" s="6" t="s">
        <v>13</v>
      </c>
      <c r="C18" s="23">
        <v>5.9</v>
      </c>
    </row>
    <row r="19" spans="1:3" x14ac:dyDescent="0.35">
      <c r="A19" s="6" t="s">
        <v>124</v>
      </c>
      <c r="B19" s="6" t="s">
        <v>13</v>
      </c>
      <c r="C19" s="23">
        <v>6</v>
      </c>
    </row>
    <row r="20" spans="1:3" x14ac:dyDescent="0.35">
      <c r="A20" s="6" t="s">
        <v>125</v>
      </c>
      <c r="B20" s="6" t="s">
        <v>46</v>
      </c>
      <c r="C20" s="23">
        <v>82.2</v>
      </c>
    </row>
    <row r="21" spans="1:3" x14ac:dyDescent="0.35">
      <c r="A21" s="4" t="s">
        <v>126</v>
      </c>
      <c r="B21" s="4"/>
      <c r="C21" s="5"/>
    </row>
    <row r="22" spans="1:3" x14ac:dyDescent="0.35">
      <c r="A22" s="6" t="s">
        <v>127</v>
      </c>
      <c r="B22" s="6" t="s">
        <v>46</v>
      </c>
      <c r="C22" s="23">
        <v>2.25</v>
      </c>
    </row>
    <row r="23" spans="1:3" x14ac:dyDescent="0.35">
      <c r="A23" s="6" t="s">
        <v>128</v>
      </c>
      <c r="B23" s="6" t="s">
        <v>46</v>
      </c>
      <c r="C23" s="23">
        <v>5.0999999999999996</v>
      </c>
    </row>
    <row r="24" spans="1:3" x14ac:dyDescent="0.35">
      <c r="A24" s="6" t="s">
        <v>129</v>
      </c>
      <c r="B24" s="6" t="s">
        <v>46</v>
      </c>
      <c r="C24" s="23">
        <v>13.7</v>
      </c>
    </row>
    <row r="25" spans="1:3" x14ac:dyDescent="0.35">
      <c r="A25" s="6" t="s">
        <v>130</v>
      </c>
      <c r="B25" s="6" t="s">
        <v>46</v>
      </c>
      <c r="C25" s="23">
        <v>7.9</v>
      </c>
    </row>
    <row r="26" spans="1:3" x14ac:dyDescent="0.35">
      <c r="A26" s="6" t="s">
        <v>131</v>
      </c>
      <c r="B26" s="6" t="s">
        <v>46</v>
      </c>
      <c r="C26" s="23">
        <v>70</v>
      </c>
    </row>
    <row r="27" spans="1:3" x14ac:dyDescent="0.35">
      <c r="A27" s="6" t="s">
        <v>132</v>
      </c>
      <c r="B27" s="6" t="s">
        <v>46</v>
      </c>
      <c r="C27" s="23">
        <v>9.1</v>
      </c>
    </row>
    <row r="28" spans="1:3" x14ac:dyDescent="0.35">
      <c r="A28" s="6" t="s">
        <v>133</v>
      </c>
      <c r="B28" s="6" t="s">
        <v>46</v>
      </c>
      <c r="C28" s="23">
        <v>12</v>
      </c>
    </row>
    <row r="29" spans="1:3" x14ac:dyDescent="0.35">
      <c r="A29" s="6" t="s">
        <v>134</v>
      </c>
      <c r="B29" s="6" t="s">
        <v>46</v>
      </c>
      <c r="C29" s="23">
        <v>104.2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zoomScaleNormal="100" workbookViewId="0">
      <selection activeCell="B8" sqref="B8"/>
    </sheetView>
  </sheetViews>
  <sheetFormatPr baseColWidth="10" defaultColWidth="8.6328125" defaultRowHeight="14.5" x14ac:dyDescent="0.35"/>
  <cols>
    <col min="1" max="1" width="26" customWidth="1"/>
    <col min="2" max="2" width="110" customWidth="1"/>
  </cols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Indicateurs macro 2013-2018</vt:lpstr>
      <vt:lpstr>Finances publiques 2017</vt:lpstr>
      <vt:lpstr>Balance des paiements 2017</vt:lpstr>
      <vt:lpstr>Monétaire et bancaire 2017</vt:lpstr>
      <vt:lpstr>Sources et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Latrach</cp:lastModifiedBy>
  <cp:revision>0</cp:revision>
  <dcterms:created xsi:type="dcterms:W3CDTF">2026-10-15T18:53:40Z</dcterms:created>
  <dcterms:modified xsi:type="dcterms:W3CDTF">2026-10-15T18:58:12Z</dcterms:modified>
  <dc:language>en-US</dc:language>
</cp:coreProperties>
</file>